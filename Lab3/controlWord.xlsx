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k\Documents\Mines\Advanced_Embedded\code\Lab3\"/>
    </mc:Choice>
  </mc:AlternateContent>
  <xr:revisionPtr revIDLastSave="0" documentId="13_ncr:1_{C7823D98-AC36-43E9-8F82-38FE1C7A082E}" xr6:coauthVersionLast="47" xr6:coauthVersionMax="47" xr10:uidLastSave="{00000000-0000-0000-0000-000000000000}"/>
  <bookViews>
    <workbookView xWindow="-96" yWindow="-96" windowWidth="23232" windowHeight="12432" xr2:uid="{00000000-000D-0000-FFFF-FFFF00000000}"/>
  </bookViews>
  <sheets>
    <sheet name="ControWord" sheetId="1" r:id="rId1"/>
    <sheet name="Handout" sheetId="3" r:id="rId2"/>
    <sheet name="AD7606 output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0" i="1" l="1"/>
  <c r="A34" i="1"/>
  <c r="A32" i="1"/>
  <c r="A33" i="1"/>
  <c r="A35" i="1"/>
  <c r="A36" i="1"/>
  <c r="A37" i="1"/>
  <c r="A38" i="1"/>
  <c r="A39" i="1"/>
  <c r="A41" i="1"/>
  <c r="A42" i="1"/>
  <c r="A43" i="1"/>
  <c r="A44" i="1"/>
  <c r="A45" i="1"/>
  <c r="A46" i="1"/>
  <c r="A47" i="1"/>
  <c r="A48" i="1"/>
  <c r="A49" i="1"/>
  <c r="A50" i="1"/>
  <c r="A51" i="1"/>
  <c r="A52" i="1"/>
  <c r="B4" i="2"/>
  <c r="B5" i="2" s="1"/>
  <c r="C3" i="2"/>
  <c r="B6" i="2" l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C5" i="2"/>
  <c r="C4" i="2"/>
  <c r="C6" i="2" l="1"/>
  <c r="C7" i="2" l="1"/>
  <c r="C8" i="2" l="1"/>
  <c r="C9" i="2" l="1"/>
  <c r="C10" i="2" l="1"/>
  <c r="C11" i="2" l="1"/>
  <c r="C12" i="2" l="1"/>
  <c r="C13" i="2" l="1"/>
  <c r="C14" i="2" l="1"/>
  <c r="C15" i="2" l="1"/>
  <c r="C16" i="2" l="1"/>
  <c r="C17" i="2" l="1"/>
  <c r="C18" i="2" l="1"/>
  <c r="C19" i="2" l="1"/>
</calcChain>
</file>

<file path=xl/sharedStrings.xml><?xml version="1.0" encoding="utf-8"?>
<sst xmlns="http://schemas.openxmlformats.org/spreadsheetml/2006/main" count="512" uniqueCount="83">
  <si>
    <t>Control Word</t>
  </si>
  <si>
    <t>DATA_STORAGE_CH2_WRITE</t>
  </si>
  <si>
    <t>DATA_STORAGE_CH1_WRITE</t>
  </si>
  <si>
    <t>CONVST</t>
  </si>
  <si>
    <t>RD</t>
  </si>
  <si>
    <t>CS</t>
  </si>
  <si>
    <t>RESET_AD7606</t>
  </si>
  <si>
    <t>DATA_STORAGE_COUNTER</t>
  </si>
  <si>
    <t>SAMPLING_COUNTER</t>
  </si>
  <si>
    <t>SAMPLING_RATE_SELECT</t>
  </si>
  <si>
    <t>LONG_DELAY_COUNTER</t>
  </si>
  <si>
    <t>SHORT_DELAY_COUNTER</t>
  </si>
  <si>
    <t>1,0</t>
  </si>
  <si>
    <t>3,2</t>
  </si>
  <si>
    <t>5,4</t>
  </si>
  <si>
    <t>7,6</t>
  </si>
  <si>
    <t>9,8</t>
  </si>
  <si>
    <t>State</t>
  </si>
  <si>
    <t>RESET_STATE</t>
  </si>
  <si>
    <t>00  Hold</t>
  </si>
  <si>
    <t>01  Load</t>
  </si>
  <si>
    <t>10  Inc</t>
  </si>
  <si>
    <t>11  Reset</t>
  </si>
  <si>
    <t>00</t>
  </si>
  <si>
    <t>0</t>
  </si>
  <si>
    <t>SAMPLE_TIMER_ROLLOVER</t>
  </si>
  <si>
    <t>CONVERSION_PLUS_READOUT</t>
  </si>
  <si>
    <t>00 =HIGHEST_RATE</t>
  </si>
  <si>
    <t>01 = HIGH_RATE</t>
  </si>
  <si>
    <t>10 = LOW_RATE</t>
  </si>
  <si>
    <t>11 = LOWEST_RATE</t>
  </si>
  <si>
    <t>Time</t>
  </si>
  <si>
    <t>C000</t>
  </si>
  <si>
    <t>0001</t>
  </si>
  <si>
    <t>187F</t>
  </si>
  <si>
    <t>2D42</t>
  </si>
  <si>
    <t>3B22</t>
  </si>
  <si>
    <t>4001</t>
  </si>
  <si>
    <t>E781</t>
  </si>
  <si>
    <t>C4DE</t>
  </si>
  <si>
    <t>BFFFF</t>
  </si>
  <si>
    <t>D2BE</t>
  </si>
  <si>
    <t>SQUARE</t>
  </si>
  <si>
    <t>TRIG_CH1_WRITE</t>
  </si>
  <si>
    <t>TRIG_CH2_WRITE</t>
  </si>
  <si>
    <t>16</t>
  </si>
  <si>
    <t>17</t>
  </si>
  <si>
    <t>18</t>
  </si>
  <si>
    <t>19</t>
  </si>
  <si>
    <t>SET_STORE_FLAG</t>
  </si>
  <si>
    <t>CLEAR_STORE_FLAG</t>
  </si>
  <si>
    <t>0 hold</t>
  </si>
  <si>
    <t>1 load</t>
  </si>
  <si>
    <t>1 clear</t>
  </si>
  <si>
    <t>1 set</t>
  </si>
  <si>
    <t>1 conv or readout happening</t>
  </si>
  <si>
    <t>1 sample interval</t>
  </si>
  <si>
    <t>Sin</t>
  </si>
  <si>
    <t>SLV</t>
  </si>
  <si>
    <t>WAIT_FORCED</t>
  </si>
  <si>
    <t>BEGIN_CONVST</t>
  </si>
  <si>
    <t>ASSERT_CONVST</t>
  </si>
  <si>
    <t>WHILE_BUSY_0</t>
  </si>
  <si>
    <t>WHILE_BUSY_1</t>
  </si>
  <si>
    <t>READ_CH1_LOW</t>
  </si>
  <si>
    <t>WRITE_CH1_BRAM</t>
  </si>
  <si>
    <t>WRITE_CH1_TRIGGER</t>
  </si>
  <si>
    <t>READ_CH1_HIGH</t>
  </si>
  <si>
    <t>RESET_SHORT</t>
  </si>
  <si>
    <t xml:space="preserve">READ_CH2_LOW </t>
  </si>
  <si>
    <t>WRITE_CH2_BRAM</t>
  </si>
  <si>
    <t>WRITE_CH2_TRIGGER</t>
  </si>
  <si>
    <t>READ_CH2_HIGH</t>
  </si>
  <si>
    <t>WAIT_FOR_END_OF_SAMPLE_INTERVAL</t>
  </si>
  <si>
    <t>BRAM_FULL</t>
  </si>
  <si>
    <t>11</t>
  </si>
  <si>
    <t>1</t>
  </si>
  <si>
    <t>10</t>
  </si>
  <si>
    <t>LONG_DELAY_STATE</t>
  </si>
  <si>
    <t>11 =HIGHEST_RATE</t>
  </si>
  <si>
    <t>10 = HIGH_RATE</t>
  </si>
  <si>
    <t>01 = LOW_RATE</t>
  </si>
  <si>
    <t>00 = LOWEST_RATE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</si>
</sst>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  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49" fontId="0" fillId="0" borderId="0" xfId="0" applyNumberFormat="1"/>
    <xf numFmtId="0" fontId="0" fillId="0" borderId="1" xfId="0" applyBorder="1"/>
    <xf numFmtId="49" fontId="0" fillId="0" borderId="1" xfId="0" applyNumberFormat="1" applyBorder="1"/>
    <xf numFmtId="49" fontId="0" fillId="0" borderId="3" xfId="0" applyNumberFormat="1" applyBorder="1"/>
    <xf numFmtId="49" fontId="0" fillId="0" borderId="6" xfId="0" applyNumberFormat="1" applyBorder="1"/>
    <xf numFmtId="49" fontId="0" fillId="0" borderId="4" xfId="0" applyNumberFormat="1" applyBorder="1"/>
    <xf numFmtId="0" fontId="0" fillId="0" borderId="9" xfId="0" applyBorder="1"/>
    <xf numFmtId="0" fontId="0" fillId="0" borderId="7" xfId="0" applyBorder="1"/>
    <xf numFmtId="49" fontId="1" fillId="0" borderId="4" xfId="0" applyNumberFormat="1" applyFont="1" applyBorder="1"/>
    <xf numFmtId="49" fontId="1" fillId="0" borderId="1" xfId="0" applyNumberFormat="1" applyFont="1" applyBorder="1"/>
    <xf numFmtId="0" fontId="1" fillId="0" borderId="1" xfId="0" applyFont="1" applyBorder="1"/>
    <xf numFmtId="0" fontId="0" fillId="0" borderId="8" xfId="0" applyBorder="1"/>
    <xf numFmtId="49" fontId="1" fillId="0" borderId="5" xfId="0" applyNumberFormat="1" applyFont="1" applyBorder="1"/>
    <xf numFmtId="49" fontId="1" fillId="0" borderId="2" xfId="0" applyNumberFormat="1" applyFont="1" applyBorder="1"/>
    <xf numFmtId="0" fontId="1" fillId="0" borderId="2" xfId="0" applyFont="1" applyBorder="1"/>
    <xf numFmtId="49" fontId="0" fillId="0" borderId="7" xfId="0" applyNumberFormat="1" applyBorder="1"/>
    <xf numFmtId="0" fontId="0" fillId="0" borderId="0" xfId="0" applyFill="1"/>
    <xf numFmtId="49" fontId="0" fillId="0" borderId="0" xfId="0" applyNumberFormat="1" applyFill="1"/>
    <xf numFmtId="49" fontId="1" fillId="0" borderId="0" xfId="0" applyNumberFormat="1" applyFont="1" applyFill="1"/>
    <xf numFmtId="0" fontId="1" fillId="0" borderId="0" xfId="0" applyFont="1" applyFill="1"/>
    <xf numFmtId="0" fontId="0" fillId="0" borderId="0" xfId="0" applyNumberFormat="1"/>
    <xf numFmtId="0" fontId="3" fillId="0" borderId="0" xfId="0" applyFont="1" applyAlignment="1"/>
    <xf numFmtId="49" fontId="0" fillId="2" borderId="0" xfId="0" applyNumberFormat="1" applyFill="1"/>
    <xf numFmtId="0" fontId="0" fillId="0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S52"/>
  <sheetViews>
    <sheetView tabSelected="1" zoomScaleNormal="100" workbookViewId="0">
      <pane xSplit="1" ySplit="5" topLeftCell="G20" activePane="bottomRight" state="frozen"/>
      <selection pane="topRight" activeCell="B1" sqref="B1"/>
      <selection pane="bottomLeft" activeCell="A6" sqref="A6"/>
      <selection pane="bottomRight" activeCell="N33" sqref="N33"/>
    </sheetView>
  </sheetViews>
  <sheetFormatPr defaultColWidth="9.15625" defaultRowHeight="14.4"/>
  <cols>
    <col min="1" max="1" width="39.26171875" style="18" bestFit="1" customWidth="1"/>
    <col min="2" max="2" width="12.26171875" style="19" bestFit="1" customWidth="1"/>
    <col min="3" max="3" width="17.9453125" style="19" customWidth="1"/>
    <col min="4" max="5" width="11.26171875" style="19" bestFit="1" customWidth="1"/>
    <col min="6" max="6" width="18.68359375" style="19" bestFit="1" customWidth="1"/>
    <col min="7" max="7" width="16.68359375" style="19" bestFit="1" customWidth="1"/>
    <col min="8" max="9" width="17.83984375" style="18" bestFit="1" customWidth="1"/>
    <col min="10" max="10" width="5.578125" style="18" bestFit="1" customWidth="1"/>
    <col min="11" max="12" width="4.68359375" style="18" customWidth="1"/>
    <col min="13" max="13" width="9.68359375" style="18" bestFit="1" customWidth="1"/>
    <col min="14" max="14" width="16.41796875" style="18" bestFit="1" customWidth="1"/>
    <col min="15" max="15" width="13.41796875" style="18" bestFit="1" customWidth="1"/>
    <col min="16" max="16" width="15.26171875" style="18" bestFit="1" customWidth="1"/>
    <col min="17" max="17" width="14.68359375" style="18" bestFit="1" customWidth="1"/>
    <col min="18" max="18" width="15.41796875" style="18" bestFit="1" customWidth="1"/>
    <col min="19" max="16384" width="9.15625" style="18"/>
  </cols>
  <sheetData>
    <row r="2" spans="1:19">
      <c r="F2" s="24"/>
      <c r="G2" s="24"/>
    </row>
    <row r="3" spans="1:19">
      <c r="C3" s="24"/>
      <c r="H3" s="25" t="s">
        <v>0</v>
      </c>
      <c r="I3" s="25"/>
      <c r="J3" s="25"/>
      <c r="K3" s="25"/>
      <c r="L3" s="25"/>
      <c r="M3" s="25"/>
      <c r="N3" s="25"/>
      <c r="O3" s="25"/>
      <c r="P3" s="25"/>
      <c r="Q3" s="25"/>
      <c r="R3" s="25"/>
    </row>
    <row r="4" spans="1:19">
      <c r="A4" s="18" t="s">
        <v>17</v>
      </c>
      <c r="B4" s="19">
        <v>21</v>
      </c>
      <c r="C4" s="19">
        <v>20</v>
      </c>
      <c r="D4" s="19" t="s">
        <v>48</v>
      </c>
      <c r="E4" s="19" t="s">
        <v>47</v>
      </c>
      <c r="F4" s="19" t="s">
        <v>46</v>
      </c>
      <c r="G4" s="19" t="s">
        <v>45</v>
      </c>
      <c r="H4" s="18">
        <v>15</v>
      </c>
      <c r="I4" s="18">
        <v>14</v>
      </c>
      <c r="J4" s="18">
        <v>13</v>
      </c>
      <c r="K4" s="18">
        <v>12</v>
      </c>
      <c r="L4" s="18">
        <v>11</v>
      </c>
      <c r="M4" s="18">
        <v>10</v>
      </c>
      <c r="N4" s="18" t="s">
        <v>16</v>
      </c>
      <c r="O4" s="18" t="s">
        <v>15</v>
      </c>
      <c r="P4" s="18" t="s">
        <v>14</v>
      </c>
      <c r="Q4" s="18" t="s">
        <v>13</v>
      </c>
      <c r="R4" s="18" t="s">
        <v>12</v>
      </c>
    </row>
    <row r="5" spans="1:19">
      <c r="B5" s="20" t="s">
        <v>50</v>
      </c>
      <c r="C5" s="20" t="s">
        <v>49</v>
      </c>
      <c r="D5" s="20" t="s">
        <v>44</v>
      </c>
      <c r="E5" s="20" t="s">
        <v>43</v>
      </c>
      <c r="F5" s="20" t="s">
        <v>26</v>
      </c>
      <c r="G5" s="20" t="s">
        <v>25</v>
      </c>
      <c r="H5" s="21" t="s">
        <v>1</v>
      </c>
      <c r="I5" s="21" t="s">
        <v>2</v>
      </c>
      <c r="J5" s="21" t="s">
        <v>3</v>
      </c>
      <c r="K5" s="21" t="s">
        <v>4</v>
      </c>
      <c r="L5" s="21" t="s">
        <v>5</v>
      </c>
      <c r="M5" s="21" t="s">
        <v>6</v>
      </c>
      <c r="N5" s="21" t="s">
        <v>7</v>
      </c>
      <c r="O5" s="21" t="s">
        <v>8</v>
      </c>
      <c r="P5" s="21" t="s">
        <v>9</v>
      </c>
      <c r="Q5" s="21" t="s">
        <v>10</v>
      </c>
      <c r="R5" s="21" t="s">
        <v>11</v>
      </c>
      <c r="S5" s="21"/>
    </row>
    <row r="6" spans="1:19">
      <c r="B6" s="20" t="s">
        <v>51</v>
      </c>
      <c r="C6" s="20" t="s">
        <v>51</v>
      </c>
      <c r="D6" s="20" t="s">
        <v>51</v>
      </c>
      <c r="E6" s="20" t="s">
        <v>51</v>
      </c>
      <c r="F6" s="20"/>
      <c r="G6" s="20"/>
      <c r="H6" s="20" t="s">
        <v>51</v>
      </c>
      <c r="I6" s="20" t="s">
        <v>51</v>
      </c>
      <c r="J6" s="21"/>
      <c r="K6" s="21"/>
      <c r="L6" s="21"/>
      <c r="M6" s="21"/>
      <c r="N6" s="21" t="s">
        <v>19</v>
      </c>
      <c r="O6" s="21" t="s">
        <v>19</v>
      </c>
      <c r="P6" s="21" t="s">
        <v>82</v>
      </c>
      <c r="Q6" s="21" t="s">
        <v>19</v>
      </c>
      <c r="R6" s="21" t="s">
        <v>19</v>
      </c>
      <c r="S6" s="21"/>
    </row>
    <row r="7" spans="1:19">
      <c r="B7" s="20" t="s">
        <v>53</v>
      </c>
      <c r="C7" s="20" t="s">
        <v>54</v>
      </c>
      <c r="D7" s="20" t="s">
        <v>52</v>
      </c>
      <c r="E7" s="20" t="s">
        <v>52</v>
      </c>
      <c r="F7" s="20" t="s">
        <v>55</v>
      </c>
      <c r="G7" s="20" t="s">
        <v>56</v>
      </c>
      <c r="H7" s="20" t="s">
        <v>52</v>
      </c>
      <c r="I7" s="20" t="s">
        <v>52</v>
      </c>
      <c r="J7" s="21"/>
      <c r="K7" s="21"/>
      <c r="L7" s="21"/>
      <c r="M7" s="21"/>
      <c r="N7" s="21" t="s">
        <v>20</v>
      </c>
      <c r="O7" s="21" t="s">
        <v>20</v>
      </c>
      <c r="P7" s="21" t="s">
        <v>81</v>
      </c>
      <c r="Q7" s="21" t="s">
        <v>20</v>
      </c>
      <c r="R7" s="21" t="s">
        <v>20</v>
      </c>
      <c r="S7" s="21"/>
    </row>
    <row r="8" spans="1:19">
      <c r="H8" s="21"/>
      <c r="I8" s="21"/>
      <c r="J8" s="21"/>
      <c r="K8" s="21"/>
      <c r="L8" s="21"/>
      <c r="M8" s="21"/>
      <c r="N8" s="21" t="s">
        <v>21</v>
      </c>
      <c r="O8" s="21" t="s">
        <v>21</v>
      </c>
      <c r="P8" s="21" t="s">
        <v>80</v>
      </c>
      <c r="Q8" s="21" t="s">
        <v>21</v>
      </c>
      <c r="R8" s="21" t="s">
        <v>21</v>
      </c>
      <c r="S8" s="21"/>
    </row>
    <row r="9" spans="1:19">
      <c r="H9" s="21"/>
      <c r="I9" s="21"/>
      <c r="J9" s="21"/>
      <c r="K9" s="21"/>
      <c r="L9" s="21"/>
      <c r="M9" s="21"/>
      <c r="N9" s="21" t="s">
        <v>22</v>
      </c>
      <c r="O9" s="21" t="s">
        <v>22</v>
      </c>
      <c r="P9" s="21" t="s">
        <v>79</v>
      </c>
      <c r="Q9" s="21" t="s">
        <v>22</v>
      </c>
      <c r="R9" s="21" t="s">
        <v>22</v>
      </c>
      <c r="S9" s="21"/>
    </row>
    <row r="10" spans="1:19">
      <c r="A10" s="18" t="s">
        <v>18</v>
      </c>
      <c r="B10" s="19">
        <v>0</v>
      </c>
      <c r="C10" s="19">
        <v>0</v>
      </c>
      <c r="D10" s="19" t="s">
        <v>24</v>
      </c>
      <c r="E10" s="19">
        <v>0</v>
      </c>
      <c r="F10" s="19" t="s">
        <v>24</v>
      </c>
      <c r="G10" s="19">
        <v>0</v>
      </c>
      <c r="H10" s="19">
        <v>0</v>
      </c>
      <c r="I10" s="19">
        <v>0</v>
      </c>
      <c r="J10" s="19" t="s">
        <v>76</v>
      </c>
      <c r="K10" s="19" t="s">
        <v>76</v>
      </c>
      <c r="L10" s="19" t="s">
        <v>76</v>
      </c>
      <c r="M10" s="19" t="s">
        <v>24</v>
      </c>
      <c r="N10" s="19" t="s">
        <v>75</v>
      </c>
      <c r="O10" s="19" t="s">
        <v>75</v>
      </c>
      <c r="P10" s="19" t="s">
        <v>75</v>
      </c>
      <c r="Q10" s="19" t="s">
        <v>75</v>
      </c>
      <c r="R10" s="19" t="s">
        <v>75</v>
      </c>
    </row>
    <row r="11" spans="1:19">
      <c r="A11" s="18" t="s">
        <v>78</v>
      </c>
      <c r="B11" s="19" t="s">
        <v>24</v>
      </c>
      <c r="C11" s="19" t="s">
        <v>24</v>
      </c>
      <c r="D11" s="19" t="s">
        <v>24</v>
      </c>
      <c r="E11" s="19" t="s">
        <v>24</v>
      </c>
      <c r="F11" s="19" t="s">
        <v>24</v>
      </c>
      <c r="G11" s="19" t="s">
        <v>24</v>
      </c>
      <c r="H11" s="19" t="s">
        <v>24</v>
      </c>
      <c r="I11" s="19" t="s">
        <v>24</v>
      </c>
      <c r="J11" s="19">
        <v>1</v>
      </c>
      <c r="K11" s="19">
        <v>1</v>
      </c>
      <c r="L11" s="19">
        <v>1</v>
      </c>
      <c r="M11" s="19">
        <v>0</v>
      </c>
      <c r="N11" s="19">
        <v>11</v>
      </c>
      <c r="O11" s="19" t="s">
        <v>75</v>
      </c>
      <c r="P11" s="19" t="s">
        <v>75</v>
      </c>
      <c r="Q11" s="19">
        <v>10</v>
      </c>
      <c r="R11" s="19">
        <v>11</v>
      </c>
    </row>
    <row r="12" spans="1:19">
      <c r="A12" s="18" t="s">
        <v>6</v>
      </c>
      <c r="B12" s="19" t="s">
        <v>24</v>
      </c>
      <c r="C12" s="19" t="s">
        <v>24</v>
      </c>
      <c r="D12" s="19" t="s">
        <v>24</v>
      </c>
      <c r="E12" s="19" t="s">
        <v>24</v>
      </c>
      <c r="F12" s="19" t="s">
        <v>24</v>
      </c>
      <c r="G12" s="19" t="s">
        <v>24</v>
      </c>
      <c r="H12" s="19" t="s">
        <v>24</v>
      </c>
      <c r="I12" s="19" t="s">
        <v>24</v>
      </c>
      <c r="J12" s="19" t="s">
        <v>76</v>
      </c>
      <c r="K12" s="19" t="s">
        <v>76</v>
      </c>
      <c r="L12" s="19" t="s">
        <v>76</v>
      </c>
      <c r="M12" s="19" t="s">
        <v>76</v>
      </c>
      <c r="N12" s="19" t="s">
        <v>75</v>
      </c>
      <c r="O12" s="19" t="s">
        <v>75</v>
      </c>
      <c r="P12" s="19" t="s">
        <v>75</v>
      </c>
      <c r="Q12" s="19" t="s">
        <v>75</v>
      </c>
      <c r="R12" s="19" t="s">
        <v>77</v>
      </c>
    </row>
    <row r="13" spans="1:19">
      <c r="A13" s="23" t="s">
        <v>59</v>
      </c>
      <c r="B13" s="19" t="s">
        <v>24</v>
      </c>
      <c r="C13" s="19" t="s">
        <v>24</v>
      </c>
      <c r="D13" s="19" t="s">
        <v>24</v>
      </c>
      <c r="E13" s="19" t="s">
        <v>24</v>
      </c>
      <c r="F13" s="19" t="s">
        <v>24</v>
      </c>
      <c r="G13" s="19" t="s">
        <v>24</v>
      </c>
      <c r="H13" s="19" t="s">
        <v>24</v>
      </c>
      <c r="I13" s="19" t="s">
        <v>24</v>
      </c>
      <c r="J13" s="19" t="s">
        <v>76</v>
      </c>
      <c r="K13" s="19" t="s">
        <v>76</v>
      </c>
      <c r="L13" s="19" t="s">
        <v>76</v>
      </c>
      <c r="M13" s="19" t="s">
        <v>24</v>
      </c>
      <c r="N13" s="19" t="s">
        <v>75</v>
      </c>
      <c r="O13" s="19" t="s">
        <v>75</v>
      </c>
      <c r="P13" s="19" t="s">
        <v>75</v>
      </c>
      <c r="Q13" s="19" t="s">
        <v>75</v>
      </c>
      <c r="R13" s="19" t="s">
        <v>75</v>
      </c>
    </row>
    <row r="14" spans="1:19">
      <c r="A14" s="18" t="s">
        <v>49</v>
      </c>
      <c r="B14" s="19" t="s">
        <v>24</v>
      </c>
      <c r="C14" s="19" t="s">
        <v>76</v>
      </c>
      <c r="D14" s="19" t="s">
        <v>24</v>
      </c>
      <c r="E14" s="19" t="s">
        <v>24</v>
      </c>
      <c r="F14" s="19" t="s">
        <v>24</v>
      </c>
      <c r="G14" s="19" t="s">
        <v>24</v>
      </c>
      <c r="H14" s="19" t="s">
        <v>24</v>
      </c>
      <c r="I14" s="19" t="s">
        <v>24</v>
      </c>
      <c r="J14" s="19" t="s">
        <v>76</v>
      </c>
      <c r="K14" s="19" t="s">
        <v>76</v>
      </c>
      <c r="L14" s="19" t="s">
        <v>76</v>
      </c>
      <c r="M14" s="19" t="s">
        <v>24</v>
      </c>
      <c r="N14" s="19" t="s">
        <v>75</v>
      </c>
      <c r="O14" s="19" t="s">
        <v>75</v>
      </c>
      <c r="P14" s="19" t="s">
        <v>75</v>
      </c>
      <c r="Q14" s="19" t="s">
        <v>75</v>
      </c>
      <c r="R14" s="19" t="s">
        <v>75</v>
      </c>
    </row>
    <row r="15" spans="1:19">
      <c r="A15" s="18" t="s">
        <v>60</v>
      </c>
      <c r="B15" s="19" t="s">
        <v>24</v>
      </c>
      <c r="C15" s="19" t="s">
        <v>24</v>
      </c>
      <c r="D15" s="19" t="s">
        <v>24</v>
      </c>
      <c r="E15" s="19" t="s">
        <v>24</v>
      </c>
      <c r="F15" s="19" t="s">
        <v>24</v>
      </c>
      <c r="G15" s="19" t="s">
        <v>24</v>
      </c>
      <c r="H15" s="19" t="s">
        <v>24</v>
      </c>
      <c r="I15" s="19" t="s">
        <v>24</v>
      </c>
      <c r="J15" s="19" t="s">
        <v>76</v>
      </c>
      <c r="K15" s="19" t="s">
        <v>76</v>
      </c>
      <c r="L15" s="19" t="s">
        <v>76</v>
      </c>
      <c r="M15" s="19" t="s">
        <v>24</v>
      </c>
      <c r="N15" s="19" t="s">
        <v>23</v>
      </c>
      <c r="O15" s="19" t="s">
        <v>75</v>
      </c>
      <c r="P15" s="19" t="s">
        <v>75</v>
      </c>
      <c r="Q15" s="19" t="s">
        <v>75</v>
      </c>
      <c r="R15" s="19" t="s">
        <v>75</v>
      </c>
    </row>
    <row r="16" spans="1:19">
      <c r="A16" s="18" t="s">
        <v>61</v>
      </c>
      <c r="B16" s="19" t="s">
        <v>24</v>
      </c>
      <c r="C16" s="19" t="s">
        <v>24</v>
      </c>
      <c r="D16" s="19" t="s">
        <v>24</v>
      </c>
      <c r="E16" s="19" t="s">
        <v>24</v>
      </c>
      <c r="F16" s="19" t="s">
        <v>76</v>
      </c>
      <c r="G16" s="19" t="s">
        <v>76</v>
      </c>
      <c r="H16" s="19" t="s">
        <v>24</v>
      </c>
      <c r="I16" s="19" t="s">
        <v>24</v>
      </c>
      <c r="J16" s="19" t="s">
        <v>24</v>
      </c>
      <c r="K16" s="19" t="s">
        <v>76</v>
      </c>
      <c r="L16" s="19" t="s">
        <v>76</v>
      </c>
      <c r="M16" s="19" t="s">
        <v>24</v>
      </c>
      <c r="N16" s="19" t="s">
        <v>23</v>
      </c>
      <c r="O16" s="19" t="s">
        <v>77</v>
      </c>
      <c r="P16" s="19" t="s">
        <v>75</v>
      </c>
      <c r="Q16" s="19" t="s">
        <v>75</v>
      </c>
      <c r="R16" s="19" t="s">
        <v>77</v>
      </c>
    </row>
    <row r="17" spans="1:18">
      <c r="A17" s="18" t="s">
        <v>62</v>
      </c>
      <c r="B17" s="19" t="s">
        <v>24</v>
      </c>
      <c r="C17" s="19" t="s">
        <v>24</v>
      </c>
      <c r="D17" s="19" t="s">
        <v>24</v>
      </c>
      <c r="E17" s="19" t="s">
        <v>24</v>
      </c>
      <c r="F17" s="19" t="s">
        <v>76</v>
      </c>
      <c r="G17" s="19" t="s">
        <v>76</v>
      </c>
      <c r="H17" s="19" t="s">
        <v>24</v>
      </c>
      <c r="I17" s="19" t="s">
        <v>24</v>
      </c>
      <c r="J17" s="19" t="s">
        <v>76</v>
      </c>
      <c r="K17" s="19" t="s">
        <v>76</v>
      </c>
      <c r="L17" s="19" t="s">
        <v>76</v>
      </c>
      <c r="M17" s="19" t="s">
        <v>24</v>
      </c>
      <c r="N17" s="19" t="s">
        <v>23</v>
      </c>
      <c r="O17" s="19" t="s">
        <v>77</v>
      </c>
      <c r="P17" s="19" t="s">
        <v>75</v>
      </c>
      <c r="Q17" s="19" t="s">
        <v>75</v>
      </c>
      <c r="R17" s="19" t="s">
        <v>75</v>
      </c>
    </row>
    <row r="18" spans="1:18">
      <c r="A18" s="18" t="s">
        <v>63</v>
      </c>
      <c r="B18" s="19" t="s">
        <v>24</v>
      </c>
      <c r="C18" s="19" t="s">
        <v>24</v>
      </c>
      <c r="D18" s="19" t="s">
        <v>24</v>
      </c>
      <c r="E18" s="19" t="s">
        <v>24</v>
      </c>
      <c r="F18" s="19" t="s">
        <v>76</v>
      </c>
      <c r="G18" s="19" t="s">
        <v>76</v>
      </c>
      <c r="H18" s="19" t="s">
        <v>24</v>
      </c>
      <c r="I18" s="19" t="s">
        <v>24</v>
      </c>
      <c r="J18" s="19" t="s">
        <v>76</v>
      </c>
      <c r="K18" s="19" t="s">
        <v>76</v>
      </c>
      <c r="L18" s="19" t="s">
        <v>76</v>
      </c>
      <c r="M18" s="19" t="s">
        <v>24</v>
      </c>
      <c r="N18" s="19" t="s">
        <v>23</v>
      </c>
      <c r="O18" s="19" t="s">
        <v>77</v>
      </c>
      <c r="P18" s="19" t="s">
        <v>75</v>
      </c>
      <c r="Q18" s="19" t="s">
        <v>75</v>
      </c>
      <c r="R18" s="19" t="s">
        <v>75</v>
      </c>
    </row>
    <row r="19" spans="1:18">
      <c r="A19" s="18" t="s">
        <v>64</v>
      </c>
      <c r="B19" s="19" t="s">
        <v>24</v>
      </c>
      <c r="C19" s="19" t="s">
        <v>24</v>
      </c>
      <c r="D19" s="19" t="s">
        <v>24</v>
      </c>
      <c r="E19" s="19" t="s">
        <v>24</v>
      </c>
      <c r="F19" s="19" t="s">
        <v>76</v>
      </c>
      <c r="G19" s="19" t="s">
        <v>76</v>
      </c>
      <c r="H19" s="19" t="s">
        <v>24</v>
      </c>
      <c r="I19" s="19" t="s">
        <v>24</v>
      </c>
      <c r="J19" s="19" t="s">
        <v>76</v>
      </c>
      <c r="K19" s="19" t="s">
        <v>24</v>
      </c>
      <c r="L19" s="19" t="s">
        <v>24</v>
      </c>
      <c r="M19" s="19" t="s">
        <v>24</v>
      </c>
      <c r="N19" s="19" t="s">
        <v>23</v>
      </c>
      <c r="O19" s="19" t="s">
        <v>77</v>
      </c>
      <c r="P19" s="19" t="s">
        <v>75</v>
      </c>
      <c r="Q19" s="19" t="s">
        <v>75</v>
      </c>
      <c r="R19" s="19" t="s">
        <v>77</v>
      </c>
    </row>
    <row r="20" spans="1:18">
      <c r="A20" s="18" t="s">
        <v>65</v>
      </c>
      <c r="B20" s="19" t="s">
        <v>24</v>
      </c>
      <c r="C20" s="19" t="s">
        <v>24</v>
      </c>
      <c r="D20" s="19" t="s">
        <v>24</v>
      </c>
      <c r="E20" s="19" t="s">
        <v>24</v>
      </c>
      <c r="F20" s="19" t="s">
        <v>76</v>
      </c>
      <c r="G20" s="19" t="s">
        <v>76</v>
      </c>
      <c r="H20" s="19" t="s">
        <v>24</v>
      </c>
      <c r="I20" s="19" t="s">
        <v>76</v>
      </c>
      <c r="J20" s="19" t="s">
        <v>76</v>
      </c>
      <c r="K20" s="19" t="s">
        <v>24</v>
      </c>
      <c r="L20" s="19" t="s">
        <v>24</v>
      </c>
      <c r="M20" s="19" t="s">
        <v>24</v>
      </c>
      <c r="N20" s="19" t="s">
        <v>23</v>
      </c>
      <c r="O20" s="19" t="s">
        <v>77</v>
      </c>
      <c r="P20" s="19" t="s">
        <v>75</v>
      </c>
      <c r="Q20" s="19" t="s">
        <v>75</v>
      </c>
      <c r="R20" s="19" t="s">
        <v>75</v>
      </c>
    </row>
    <row r="21" spans="1:18">
      <c r="A21" s="18" t="s">
        <v>66</v>
      </c>
      <c r="B21" s="19" t="s">
        <v>24</v>
      </c>
      <c r="C21" s="19" t="s">
        <v>24</v>
      </c>
      <c r="D21" s="19" t="s">
        <v>24</v>
      </c>
      <c r="E21" s="19" t="s">
        <v>76</v>
      </c>
      <c r="F21" s="19" t="s">
        <v>76</v>
      </c>
      <c r="G21" s="19" t="s">
        <v>76</v>
      </c>
      <c r="H21" s="19" t="s">
        <v>24</v>
      </c>
      <c r="I21" s="19" t="s">
        <v>24</v>
      </c>
      <c r="J21" s="19" t="s">
        <v>76</v>
      </c>
      <c r="K21" s="19" t="s">
        <v>24</v>
      </c>
      <c r="L21" s="19" t="s">
        <v>24</v>
      </c>
      <c r="M21" s="19" t="s">
        <v>24</v>
      </c>
      <c r="N21" s="19" t="s">
        <v>23</v>
      </c>
      <c r="O21" s="19" t="s">
        <v>77</v>
      </c>
      <c r="P21" s="19" t="s">
        <v>75</v>
      </c>
      <c r="Q21" s="19" t="s">
        <v>75</v>
      </c>
      <c r="R21" s="19" t="s">
        <v>75</v>
      </c>
    </row>
    <row r="22" spans="1:18">
      <c r="A22" s="18" t="s">
        <v>67</v>
      </c>
      <c r="B22" s="19" t="s">
        <v>24</v>
      </c>
      <c r="C22" s="19" t="s">
        <v>24</v>
      </c>
      <c r="D22" s="19" t="s">
        <v>24</v>
      </c>
      <c r="E22" s="19" t="s">
        <v>24</v>
      </c>
      <c r="F22" s="19" t="s">
        <v>76</v>
      </c>
      <c r="G22" s="19" t="s">
        <v>76</v>
      </c>
      <c r="H22" s="19" t="s">
        <v>24</v>
      </c>
      <c r="I22" s="19" t="s">
        <v>24</v>
      </c>
      <c r="J22" s="19" t="s">
        <v>76</v>
      </c>
      <c r="K22" s="19" t="s">
        <v>76</v>
      </c>
      <c r="L22" s="19" t="s">
        <v>24</v>
      </c>
      <c r="M22" s="19" t="s">
        <v>24</v>
      </c>
      <c r="N22" s="19" t="s">
        <v>23</v>
      </c>
      <c r="O22" s="19" t="s">
        <v>77</v>
      </c>
      <c r="P22" s="19" t="s">
        <v>75</v>
      </c>
      <c r="Q22" s="19" t="s">
        <v>75</v>
      </c>
      <c r="R22" s="19" t="s">
        <v>77</v>
      </c>
    </row>
    <row r="23" spans="1:18">
      <c r="A23" s="18" t="s">
        <v>68</v>
      </c>
      <c r="B23" s="19" t="s">
        <v>24</v>
      </c>
      <c r="C23" s="19" t="s">
        <v>24</v>
      </c>
      <c r="D23" s="19" t="s">
        <v>24</v>
      </c>
      <c r="E23" s="19" t="s">
        <v>24</v>
      </c>
      <c r="F23" s="19" t="s">
        <v>76</v>
      </c>
      <c r="G23" s="19" t="s">
        <v>76</v>
      </c>
      <c r="H23" s="19" t="s">
        <v>24</v>
      </c>
      <c r="I23" s="19" t="s">
        <v>24</v>
      </c>
      <c r="J23" s="19" t="s">
        <v>76</v>
      </c>
      <c r="K23" s="19" t="s">
        <v>76</v>
      </c>
      <c r="L23" s="19" t="s">
        <v>24</v>
      </c>
      <c r="M23" s="19" t="s">
        <v>24</v>
      </c>
      <c r="N23" s="19" t="s">
        <v>23</v>
      </c>
      <c r="O23" s="19" t="s">
        <v>77</v>
      </c>
      <c r="P23" s="19" t="s">
        <v>75</v>
      </c>
      <c r="Q23" s="19" t="s">
        <v>75</v>
      </c>
      <c r="R23" s="19" t="s">
        <v>75</v>
      </c>
    </row>
    <row r="24" spans="1:18">
      <c r="A24" s="18" t="s">
        <v>69</v>
      </c>
      <c r="B24" s="19" t="s">
        <v>24</v>
      </c>
      <c r="C24" s="19" t="s">
        <v>24</v>
      </c>
      <c r="D24" s="19" t="s">
        <v>24</v>
      </c>
      <c r="E24" s="19" t="s">
        <v>24</v>
      </c>
      <c r="F24" s="19" t="s">
        <v>76</v>
      </c>
      <c r="G24" s="19" t="s">
        <v>76</v>
      </c>
      <c r="H24" s="19" t="s">
        <v>24</v>
      </c>
      <c r="I24" s="19" t="s">
        <v>24</v>
      </c>
      <c r="J24" s="19" t="s">
        <v>76</v>
      </c>
      <c r="K24" s="19" t="s">
        <v>24</v>
      </c>
      <c r="L24" s="19" t="s">
        <v>24</v>
      </c>
      <c r="M24" s="19" t="s">
        <v>24</v>
      </c>
      <c r="N24" s="19" t="s">
        <v>23</v>
      </c>
      <c r="O24" s="19" t="s">
        <v>77</v>
      </c>
      <c r="P24" s="19" t="s">
        <v>75</v>
      </c>
      <c r="Q24" s="19" t="s">
        <v>75</v>
      </c>
      <c r="R24" s="19" t="s">
        <v>77</v>
      </c>
    </row>
    <row r="25" spans="1:18">
      <c r="A25" s="18" t="s">
        <v>70</v>
      </c>
      <c r="B25" s="19" t="s">
        <v>24</v>
      </c>
      <c r="C25" s="19" t="s">
        <v>24</v>
      </c>
      <c r="D25" s="19" t="s">
        <v>24</v>
      </c>
      <c r="E25" s="19" t="s">
        <v>24</v>
      </c>
      <c r="F25" s="19" t="s">
        <v>76</v>
      </c>
      <c r="G25" s="19" t="s">
        <v>76</v>
      </c>
      <c r="H25" s="19" t="s">
        <v>76</v>
      </c>
      <c r="I25" s="19" t="s">
        <v>24</v>
      </c>
      <c r="J25" s="19" t="s">
        <v>76</v>
      </c>
      <c r="K25" s="19" t="s">
        <v>24</v>
      </c>
      <c r="L25" s="19" t="s">
        <v>24</v>
      </c>
      <c r="M25" s="19" t="s">
        <v>24</v>
      </c>
      <c r="N25" s="19" t="s">
        <v>77</v>
      </c>
      <c r="O25" s="19" t="s">
        <v>77</v>
      </c>
      <c r="P25" s="19" t="s">
        <v>75</v>
      </c>
      <c r="Q25" s="19" t="s">
        <v>75</v>
      </c>
      <c r="R25" s="19" t="s">
        <v>75</v>
      </c>
    </row>
    <row r="26" spans="1:18">
      <c r="A26" s="18" t="s">
        <v>71</v>
      </c>
      <c r="B26" s="19" t="s">
        <v>24</v>
      </c>
      <c r="C26" s="19" t="s">
        <v>24</v>
      </c>
      <c r="D26" s="19" t="s">
        <v>76</v>
      </c>
      <c r="E26" s="19" t="s">
        <v>24</v>
      </c>
      <c r="F26" s="19" t="s">
        <v>76</v>
      </c>
      <c r="G26" s="19" t="s">
        <v>76</v>
      </c>
      <c r="H26" s="19" t="s">
        <v>24</v>
      </c>
      <c r="I26" s="19" t="s">
        <v>24</v>
      </c>
      <c r="J26" s="19" t="s">
        <v>76</v>
      </c>
      <c r="K26" s="19" t="s">
        <v>24</v>
      </c>
      <c r="L26" s="19" t="s">
        <v>24</v>
      </c>
      <c r="M26" s="19" t="s">
        <v>24</v>
      </c>
      <c r="N26" s="19" t="s">
        <v>23</v>
      </c>
      <c r="O26" s="19" t="s">
        <v>77</v>
      </c>
      <c r="P26" s="19" t="s">
        <v>75</v>
      </c>
      <c r="Q26" s="19" t="s">
        <v>75</v>
      </c>
      <c r="R26" s="19" t="s">
        <v>75</v>
      </c>
    </row>
    <row r="27" spans="1:18">
      <c r="A27" s="18" t="s">
        <v>72</v>
      </c>
      <c r="B27" s="19" t="s">
        <v>24</v>
      </c>
      <c r="C27" s="19" t="s">
        <v>24</v>
      </c>
      <c r="D27" s="19" t="s">
        <v>24</v>
      </c>
      <c r="E27" s="19" t="s">
        <v>24</v>
      </c>
      <c r="F27" s="19" t="s">
        <v>76</v>
      </c>
      <c r="G27" s="19" t="s">
        <v>76</v>
      </c>
      <c r="H27" s="19" t="s">
        <v>24</v>
      </c>
      <c r="I27" s="19" t="s">
        <v>24</v>
      </c>
      <c r="J27" s="19" t="s">
        <v>76</v>
      </c>
      <c r="K27" s="19" t="s">
        <v>76</v>
      </c>
      <c r="L27" s="19" t="s">
        <v>24</v>
      </c>
      <c r="M27" s="19" t="s">
        <v>24</v>
      </c>
      <c r="N27" s="19" t="s">
        <v>23</v>
      </c>
      <c r="O27" s="19" t="s">
        <v>77</v>
      </c>
      <c r="P27" s="19" t="s">
        <v>75</v>
      </c>
      <c r="Q27" s="19" t="s">
        <v>75</v>
      </c>
      <c r="R27" s="19" t="s">
        <v>77</v>
      </c>
    </row>
    <row r="28" spans="1:18">
      <c r="A28" s="19" t="s">
        <v>73</v>
      </c>
      <c r="B28" s="19" t="s">
        <v>24</v>
      </c>
      <c r="C28" s="19" t="s">
        <v>24</v>
      </c>
      <c r="D28" s="19" t="s">
        <v>24</v>
      </c>
      <c r="E28" s="19" t="s">
        <v>24</v>
      </c>
      <c r="F28" s="19" t="s">
        <v>24</v>
      </c>
      <c r="G28" s="19" t="s">
        <v>76</v>
      </c>
      <c r="H28" s="19" t="s">
        <v>24</v>
      </c>
      <c r="I28" s="19" t="s">
        <v>24</v>
      </c>
      <c r="J28" s="19" t="s">
        <v>76</v>
      </c>
      <c r="K28" s="19" t="s">
        <v>76</v>
      </c>
      <c r="L28" s="19" t="s">
        <v>76</v>
      </c>
      <c r="M28" s="19" t="s">
        <v>24</v>
      </c>
      <c r="N28" s="19" t="s">
        <v>23</v>
      </c>
      <c r="O28" s="19" t="s">
        <v>77</v>
      </c>
      <c r="P28" s="19" t="s">
        <v>75</v>
      </c>
      <c r="Q28" s="19" t="s">
        <v>75</v>
      </c>
      <c r="R28" s="19" t="s">
        <v>75</v>
      </c>
    </row>
    <row r="29" spans="1:18" s="19" customFormat="1">
      <c r="A29" s="18" t="s">
        <v>74</v>
      </c>
      <c r="B29" s="19" t="s">
        <v>24</v>
      </c>
      <c r="C29" s="19" t="s">
        <v>24</v>
      </c>
      <c r="D29" s="19" t="s">
        <v>24</v>
      </c>
      <c r="E29" s="19" t="s">
        <v>24</v>
      </c>
      <c r="F29" s="19" t="s">
        <v>24</v>
      </c>
      <c r="G29" s="19" t="s">
        <v>24</v>
      </c>
      <c r="H29" s="19" t="s">
        <v>24</v>
      </c>
      <c r="I29" s="19" t="s">
        <v>24</v>
      </c>
      <c r="J29" s="19" t="s">
        <v>76</v>
      </c>
      <c r="K29" s="19" t="s">
        <v>76</v>
      </c>
      <c r="L29" s="19" t="s">
        <v>76</v>
      </c>
      <c r="M29" s="19" t="s">
        <v>24</v>
      </c>
      <c r="N29" s="19" t="s">
        <v>23</v>
      </c>
      <c r="O29" s="19" t="s">
        <v>75</v>
      </c>
      <c r="P29" s="19" t="s">
        <v>75</v>
      </c>
      <c r="Q29" s="19" t="s">
        <v>75</v>
      </c>
      <c r="R29" s="19" t="s">
        <v>75</v>
      </c>
    </row>
    <row r="30" spans="1:18">
      <c r="A30" s="18" t="s">
        <v>50</v>
      </c>
      <c r="B30" s="19" t="s">
        <v>76</v>
      </c>
      <c r="C30" s="19" t="s">
        <v>24</v>
      </c>
      <c r="D30" s="19" t="s">
        <v>24</v>
      </c>
      <c r="E30" s="19" t="s">
        <v>24</v>
      </c>
      <c r="F30" s="19" t="s">
        <v>24</v>
      </c>
      <c r="G30" s="19" t="s">
        <v>24</v>
      </c>
      <c r="H30" s="19" t="s">
        <v>24</v>
      </c>
      <c r="I30" s="19" t="s">
        <v>24</v>
      </c>
      <c r="J30" s="19" t="s">
        <v>76</v>
      </c>
      <c r="K30" s="19" t="s">
        <v>76</v>
      </c>
      <c r="L30" s="19" t="s">
        <v>76</v>
      </c>
      <c r="M30" s="19" t="s">
        <v>24</v>
      </c>
      <c r="N30" s="19" t="s">
        <v>23</v>
      </c>
      <c r="O30" s="19" t="s">
        <v>75</v>
      </c>
      <c r="P30" s="19" t="s">
        <v>75</v>
      </c>
      <c r="Q30" s="19" t="s">
        <v>75</v>
      </c>
      <c r="R30" s="19" t="s">
        <v>75</v>
      </c>
    </row>
    <row r="32" spans="1:18">
      <c r="A32" s="18" t="str">
        <f>"when "&amp;A10&amp;"  =&gt;  cw &lt;= '"&amp;B10&amp;"'&amp;'"&amp;C10&amp;"'&amp;'"&amp;D10&amp;"'&amp;'"&amp;E10&amp;"'&amp;'" &amp;F10&amp;"'&amp;'"&amp;G10&amp;"'&amp;'"&amp;H10&amp;"'&amp;'"&amp;I10&amp;"'&amp;'"&amp;J10&amp;"'&amp;'"&amp;K10&amp;"'&amp;'"&amp;L10&amp;"'&amp;'"&amp;M10&amp;"'&amp;"""&amp;N10&amp;""""&amp;"&amp;"&amp;""""&amp;O10&amp; """" &amp; "&amp;" &amp; """" &amp; P10 &amp; """" &amp; "&amp;" &amp; """" &amp; Q10 &amp; """" &amp; "&amp;" &amp; """" &amp; R10 &amp; """" &amp; ";"</f>
        <v>when RESET_STATE  =&gt;  cw &lt;= '0'&amp;'0'&amp;'0'&amp;'0'&amp;'0'&amp;'0'&amp;'0'&amp;'0'&amp;'1'&amp;'1'&amp;'1'&amp;'0'&amp;"11"&amp;"11"&amp;"11"&amp;"11"&amp;"11";</v>
      </c>
    </row>
    <row r="33" spans="1:1">
      <c r="A33" s="18" t="str">
        <f t="shared" ref="A33:A52" si="0">"when "&amp;A11&amp;"  =&gt;  cw &lt;= '"&amp;B11&amp;"'&amp;'"&amp;C11&amp;"'&amp;'"&amp;D11&amp;"'&amp;'"&amp;E11&amp;"'&amp;'" &amp;F11&amp;"'&amp;'"&amp;G11&amp;"'&amp;'"&amp;H11&amp;"'&amp;'"&amp;I11&amp;"'&amp;'"&amp;J11&amp;"'&amp;'"&amp;K11&amp;"'&amp;'"&amp;L11&amp;"'&amp;'"&amp;M11&amp;"'&amp;"""&amp;N11&amp;""""&amp;"&amp;"&amp;""""&amp;O11&amp; """" &amp; "&amp;" &amp; """" &amp; P11 &amp; """" &amp; "&amp;" &amp; """" &amp; Q11 &amp; """" &amp; "&amp;" &amp; """" &amp; R11 &amp; """" &amp; ";"</f>
        <v>when LONG_DELAY_STATE  =&gt;  cw &lt;= '0'&amp;'0'&amp;'0'&amp;'0'&amp;'0'&amp;'0'&amp;'0'&amp;'0'&amp;'1'&amp;'1'&amp;'1'&amp;'0'&amp;"11"&amp;"11"&amp;"11"&amp;"10"&amp;"11";</v>
      </c>
    </row>
    <row r="34" spans="1:1">
      <c r="A34" s="18" t="str">
        <f>"when "&amp;A12&amp;"  =&gt;  cw &lt;= '"&amp;B12&amp;"'&amp;'"&amp;C12&amp;"'&amp;'"&amp;D12&amp;"'&amp;'"&amp;E12&amp;"'&amp;'" &amp;F12&amp;"'&amp;'"&amp;G12&amp;"'&amp;'"&amp;H12&amp;"'&amp;'"&amp;I12&amp;"'&amp;'"&amp;J12&amp;"'&amp;'"&amp;K12&amp;"'&amp;'"&amp;L12&amp;"'&amp;'"&amp;M12&amp;"'&amp;"""&amp;N12&amp;""""&amp;"&amp;"&amp;""""&amp;O12&amp; """" &amp; "&amp;" &amp; """" &amp; P12 &amp; """" &amp; "&amp;" &amp; """" &amp; Q12 &amp; """" &amp; "&amp;" &amp; """" &amp; R12 &amp; """" &amp; ";"</f>
        <v>when RESET_AD7606  =&gt;  cw &lt;= '0'&amp;'0'&amp;'0'&amp;'0'&amp;'0'&amp;'0'&amp;'0'&amp;'0'&amp;'1'&amp;'1'&amp;'1'&amp;'1'&amp;"11"&amp;"11"&amp;"11"&amp;"11"&amp;"10";</v>
      </c>
    </row>
    <row r="35" spans="1:1">
      <c r="A35" s="18" t="str">
        <f t="shared" si="0"/>
        <v>when WAIT_FORCED  =&gt;  cw &lt;= '0'&amp;'0'&amp;'0'&amp;'0'&amp;'0'&amp;'0'&amp;'0'&amp;'0'&amp;'1'&amp;'1'&amp;'1'&amp;'0'&amp;"11"&amp;"11"&amp;"11"&amp;"11"&amp;"11";</v>
      </c>
    </row>
    <row r="36" spans="1:1">
      <c r="A36" s="18" t="str">
        <f t="shared" si="0"/>
        <v>when SET_STORE_FLAG  =&gt;  cw &lt;= '0'&amp;'1'&amp;'0'&amp;'0'&amp;'0'&amp;'0'&amp;'0'&amp;'0'&amp;'1'&amp;'1'&amp;'1'&amp;'0'&amp;"11"&amp;"11"&amp;"11"&amp;"11"&amp;"11";</v>
      </c>
    </row>
    <row r="37" spans="1:1">
      <c r="A37" s="18" t="str">
        <f t="shared" si="0"/>
        <v>when BEGIN_CONVST  =&gt;  cw &lt;= '0'&amp;'0'&amp;'0'&amp;'0'&amp;'0'&amp;'0'&amp;'0'&amp;'0'&amp;'1'&amp;'1'&amp;'1'&amp;'0'&amp;"00"&amp;"11"&amp;"11"&amp;"11"&amp;"11";</v>
      </c>
    </row>
    <row r="38" spans="1:1">
      <c r="A38" s="18" t="str">
        <f t="shared" si="0"/>
        <v>when ASSERT_CONVST  =&gt;  cw &lt;= '0'&amp;'0'&amp;'0'&amp;'0'&amp;'1'&amp;'1'&amp;'0'&amp;'0'&amp;'0'&amp;'1'&amp;'1'&amp;'0'&amp;"00"&amp;"10"&amp;"11"&amp;"11"&amp;"10";</v>
      </c>
    </row>
    <row r="39" spans="1:1">
      <c r="A39" s="18" t="str">
        <f t="shared" si="0"/>
        <v>when WHILE_BUSY_0  =&gt;  cw &lt;= '0'&amp;'0'&amp;'0'&amp;'0'&amp;'1'&amp;'1'&amp;'0'&amp;'0'&amp;'1'&amp;'1'&amp;'1'&amp;'0'&amp;"00"&amp;"10"&amp;"11"&amp;"11"&amp;"11";</v>
      </c>
    </row>
    <row r="40" spans="1:1">
      <c r="A40" s="18" t="str">
        <f>"when "&amp;A18&amp;"  =&gt;  cw &lt;= '"&amp;B18&amp;"'&amp;'"&amp;C18&amp;"'&amp;'"&amp;D18&amp;"'&amp;'"&amp;E18&amp;"'&amp;'" &amp;F18&amp;"'&amp;'"&amp;G18&amp;"'&amp;'"&amp;H18&amp;"'&amp;'"&amp;I18&amp;"'&amp;'"&amp;J18&amp;"'&amp;'"&amp;K18&amp;"'&amp;'"&amp;L18&amp;"'&amp;'"&amp;M18&amp;"'&amp;"""&amp;N18&amp;""""&amp;"&amp;"&amp;""""&amp;O18&amp; """" &amp; "&amp;" &amp; """" &amp; P18 &amp; """" &amp; "&amp;" &amp; """" &amp; Q18 &amp; """" &amp; "&amp;" &amp; """" &amp; R18 &amp; """" &amp; ";"</f>
        <v>when WHILE_BUSY_1  =&gt;  cw &lt;= '0'&amp;'0'&amp;'0'&amp;'0'&amp;'1'&amp;'1'&amp;'0'&amp;'0'&amp;'1'&amp;'1'&amp;'1'&amp;'0'&amp;"00"&amp;"10"&amp;"11"&amp;"11"&amp;"11";</v>
      </c>
    </row>
    <row r="41" spans="1:1">
      <c r="A41" s="18" t="str">
        <f t="shared" si="0"/>
        <v>when READ_CH1_LOW  =&gt;  cw &lt;= '0'&amp;'0'&amp;'0'&amp;'0'&amp;'1'&amp;'1'&amp;'0'&amp;'0'&amp;'1'&amp;'0'&amp;'0'&amp;'0'&amp;"00"&amp;"10"&amp;"11"&amp;"11"&amp;"10";</v>
      </c>
    </row>
    <row r="42" spans="1:1">
      <c r="A42" s="18" t="str">
        <f t="shared" si="0"/>
        <v>when WRITE_CH1_BRAM  =&gt;  cw &lt;= '0'&amp;'0'&amp;'0'&amp;'0'&amp;'1'&amp;'1'&amp;'0'&amp;'1'&amp;'1'&amp;'0'&amp;'0'&amp;'0'&amp;"00"&amp;"10"&amp;"11"&amp;"11"&amp;"11";</v>
      </c>
    </row>
    <row r="43" spans="1:1">
      <c r="A43" s="18" t="str">
        <f t="shared" si="0"/>
        <v>when WRITE_CH1_TRIGGER  =&gt;  cw &lt;= '0'&amp;'0'&amp;'0'&amp;'1'&amp;'1'&amp;'1'&amp;'0'&amp;'0'&amp;'1'&amp;'0'&amp;'0'&amp;'0'&amp;"00"&amp;"10"&amp;"11"&amp;"11"&amp;"11";</v>
      </c>
    </row>
    <row r="44" spans="1:1">
      <c r="A44" s="18" t="str">
        <f t="shared" si="0"/>
        <v>when READ_CH1_HIGH  =&gt;  cw &lt;= '0'&amp;'0'&amp;'0'&amp;'0'&amp;'1'&amp;'1'&amp;'0'&amp;'0'&amp;'1'&amp;'1'&amp;'0'&amp;'0'&amp;"00"&amp;"10"&amp;"11"&amp;"11"&amp;"10";</v>
      </c>
    </row>
    <row r="45" spans="1:1">
      <c r="A45" s="18" t="str">
        <f t="shared" si="0"/>
        <v>when RESET_SHORT  =&gt;  cw &lt;= '0'&amp;'0'&amp;'0'&amp;'0'&amp;'1'&amp;'1'&amp;'0'&amp;'0'&amp;'1'&amp;'1'&amp;'0'&amp;'0'&amp;"00"&amp;"10"&amp;"11"&amp;"11"&amp;"11";</v>
      </c>
    </row>
    <row r="46" spans="1:1">
      <c r="A46" s="18" t="str">
        <f t="shared" si="0"/>
        <v>when READ_CH2_LOW   =&gt;  cw &lt;= '0'&amp;'0'&amp;'0'&amp;'0'&amp;'1'&amp;'1'&amp;'0'&amp;'0'&amp;'1'&amp;'0'&amp;'0'&amp;'0'&amp;"00"&amp;"10"&amp;"11"&amp;"11"&amp;"10";</v>
      </c>
    </row>
    <row r="47" spans="1:1">
      <c r="A47" s="18" t="str">
        <f t="shared" si="0"/>
        <v>when WRITE_CH2_BRAM  =&gt;  cw &lt;= '0'&amp;'0'&amp;'0'&amp;'0'&amp;'1'&amp;'1'&amp;'1'&amp;'0'&amp;'1'&amp;'0'&amp;'0'&amp;'0'&amp;"10"&amp;"10"&amp;"11"&amp;"11"&amp;"11";</v>
      </c>
    </row>
    <row r="48" spans="1:1">
      <c r="A48" s="18" t="str">
        <f t="shared" si="0"/>
        <v>when WRITE_CH2_TRIGGER  =&gt;  cw &lt;= '0'&amp;'0'&amp;'1'&amp;'0'&amp;'1'&amp;'1'&amp;'0'&amp;'0'&amp;'1'&amp;'0'&amp;'0'&amp;'0'&amp;"00"&amp;"10"&amp;"11"&amp;"11"&amp;"11";</v>
      </c>
    </row>
    <row r="49" spans="1:1">
      <c r="A49" s="18" t="str">
        <f t="shared" si="0"/>
        <v>when READ_CH2_HIGH  =&gt;  cw &lt;= '0'&amp;'0'&amp;'0'&amp;'0'&amp;'1'&amp;'1'&amp;'0'&amp;'0'&amp;'1'&amp;'1'&amp;'0'&amp;'0'&amp;"00"&amp;"10"&amp;"11"&amp;"11"&amp;"10";</v>
      </c>
    </row>
    <row r="50" spans="1:1">
      <c r="A50" s="18" t="str">
        <f t="shared" si="0"/>
        <v>when WAIT_FOR_END_OF_SAMPLE_INTERVAL  =&gt;  cw &lt;= '0'&amp;'0'&amp;'0'&amp;'0'&amp;'0'&amp;'1'&amp;'0'&amp;'0'&amp;'1'&amp;'1'&amp;'1'&amp;'0'&amp;"00"&amp;"10"&amp;"11"&amp;"11"&amp;"11";</v>
      </c>
    </row>
    <row r="51" spans="1:1">
      <c r="A51" s="18" t="str">
        <f t="shared" si="0"/>
        <v>when BRAM_FULL  =&gt;  cw &lt;= '0'&amp;'0'&amp;'0'&amp;'0'&amp;'0'&amp;'0'&amp;'0'&amp;'0'&amp;'1'&amp;'1'&amp;'1'&amp;'0'&amp;"00"&amp;"11"&amp;"11"&amp;"11"&amp;"11";</v>
      </c>
    </row>
    <row r="52" spans="1:1">
      <c r="A52" s="18" t="str">
        <f t="shared" si="0"/>
        <v>when CLEAR_STORE_FLAG  =&gt;  cw &lt;= '1'&amp;'0'&amp;'0'&amp;'0'&amp;'0'&amp;'0'&amp;'0'&amp;'0'&amp;'1'&amp;'1'&amp;'1'&amp;'0'&amp;"00"&amp;"11"&amp;"11"&amp;"11"&amp;"11";</v>
      </c>
    </row>
  </sheetData>
  <mergeCells count="1">
    <mergeCell ref="H3:R3"/>
  </mergeCells>
  <phoneticPr fontId="2" type="noConversion"/>
  <pageMargins left="0.7" right="0.7" top="0.75" bottom="0.75" header="0.3" footer="0.3"/>
  <pageSetup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S55"/>
  <sheetViews>
    <sheetView zoomScale="55" zoomScaleNormal="55" workbookViewId="0">
      <selection activeCell="D58" sqref="D58"/>
    </sheetView>
  </sheetViews>
  <sheetFormatPr defaultRowHeight="14.4"/>
  <cols>
    <col min="1" max="1" width="39.26171875" bestFit="1" customWidth="1"/>
    <col min="2" max="2" width="15.68359375" style="2" bestFit="1" customWidth="1"/>
    <col min="3" max="3" width="13.41796875" style="2" bestFit="1" customWidth="1"/>
    <col min="4" max="4" width="12.83984375" style="2" bestFit="1" customWidth="1"/>
    <col min="5" max="5" width="12.68359375" style="2" bestFit="1" customWidth="1"/>
    <col min="6" max="6" width="22.578125" style="2" bestFit="1" customWidth="1"/>
    <col min="7" max="7" width="16.68359375" style="2" bestFit="1" customWidth="1"/>
    <col min="8" max="8" width="21.26171875" bestFit="1" customWidth="1"/>
    <col min="9" max="9" width="21.15625" bestFit="1" customWidth="1"/>
    <col min="10" max="10" width="18.68359375" bestFit="1" customWidth="1"/>
    <col min="11" max="12" width="4.68359375" customWidth="1"/>
    <col min="13" max="13" width="9.68359375" bestFit="1" customWidth="1"/>
    <col min="14" max="14" width="16.41796875" bestFit="1" customWidth="1"/>
    <col min="15" max="15" width="13.41796875" bestFit="1" customWidth="1"/>
    <col min="16" max="16" width="15.26171875" bestFit="1" customWidth="1"/>
    <col min="17" max="17" width="14.68359375" bestFit="1" customWidth="1"/>
    <col min="18" max="18" width="15.41796875" bestFit="1" customWidth="1"/>
  </cols>
  <sheetData>
    <row r="1" spans="1:19">
      <c r="A1" s="9" t="s">
        <v>17</v>
      </c>
      <c r="B1" s="7">
        <v>21</v>
      </c>
      <c r="C1" s="4">
        <v>20</v>
      </c>
      <c r="D1" s="4" t="s">
        <v>48</v>
      </c>
      <c r="E1" s="4" t="s">
        <v>47</v>
      </c>
      <c r="F1" s="4" t="s">
        <v>46</v>
      </c>
      <c r="G1" s="4" t="s">
        <v>45</v>
      </c>
      <c r="H1" s="3">
        <v>15</v>
      </c>
      <c r="I1" s="3">
        <v>14</v>
      </c>
    </row>
    <row r="2" spans="1:19">
      <c r="A2" s="9"/>
      <c r="B2" s="10" t="s">
        <v>50</v>
      </c>
      <c r="C2" s="11" t="s">
        <v>49</v>
      </c>
      <c r="D2" s="11" t="s">
        <v>44</v>
      </c>
      <c r="E2" s="11" t="s">
        <v>43</v>
      </c>
      <c r="F2" s="11" t="s">
        <v>26</v>
      </c>
      <c r="G2" s="11" t="s">
        <v>25</v>
      </c>
      <c r="H2" s="12" t="s">
        <v>1</v>
      </c>
      <c r="I2" s="12" t="s">
        <v>2</v>
      </c>
      <c r="S2" s="1"/>
    </row>
    <row r="3" spans="1:19">
      <c r="A3" s="9"/>
      <c r="B3" s="10" t="s">
        <v>51</v>
      </c>
      <c r="C3" s="11" t="s">
        <v>51</v>
      </c>
      <c r="D3" s="11" t="s">
        <v>51</v>
      </c>
      <c r="E3" s="11" t="s">
        <v>51</v>
      </c>
      <c r="F3" s="11"/>
      <c r="G3" s="11"/>
      <c r="H3" s="11" t="s">
        <v>51</v>
      </c>
      <c r="I3" s="11" t="s">
        <v>51</v>
      </c>
      <c r="S3" s="1"/>
    </row>
    <row r="4" spans="1:19">
      <c r="A4" s="9"/>
      <c r="B4" s="10" t="s">
        <v>53</v>
      </c>
      <c r="C4" s="11" t="s">
        <v>54</v>
      </c>
      <c r="D4" s="11" t="s">
        <v>52</v>
      </c>
      <c r="E4" s="11" t="s">
        <v>52</v>
      </c>
      <c r="F4" s="11" t="s">
        <v>55</v>
      </c>
      <c r="G4" s="11" t="s">
        <v>56</v>
      </c>
      <c r="H4" s="11" t="s">
        <v>52</v>
      </c>
      <c r="I4" s="11" t="s">
        <v>52</v>
      </c>
      <c r="S4" s="1"/>
    </row>
    <row r="5" spans="1:19">
      <c r="A5" s="9"/>
      <c r="B5" s="10"/>
      <c r="C5" s="11"/>
      <c r="D5" s="11"/>
      <c r="E5" s="11"/>
      <c r="F5" s="11"/>
      <c r="G5" s="11"/>
      <c r="H5" s="12"/>
      <c r="I5" s="12"/>
      <c r="S5" s="1"/>
    </row>
    <row r="6" spans="1:19" ht="14.7" thickBot="1">
      <c r="A6" s="13"/>
      <c r="B6" s="14"/>
      <c r="C6" s="15"/>
      <c r="D6" s="15"/>
      <c r="E6" s="15"/>
      <c r="F6" s="15"/>
      <c r="G6" s="15"/>
      <c r="H6" s="16"/>
      <c r="I6" s="16"/>
      <c r="S6" s="1"/>
    </row>
    <row r="7" spans="1:19" ht="14.7" thickTop="1">
      <c r="A7" s="8"/>
      <c r="B7" s="6"/>
      <c r="C7" s="5"/>
      <c r="D7" s="5"/>
      <c r="E7" s="5"/>
      <c r="F7" s="5"/>
      <c r="G7" s="5"/>
      <c r="H7" s="5"/>
      <c r="I7" s="5"/>
    </row>
    <row r="8" spans="1:19">
      <c r="A8" s="9"/>
      <c r="B8" s="7"/>
      <c r="C8" s="4"/>
      <c r="D8" s="4"/>
      <c r="E8" s="4"/>
      <c r="F8" s="4"/>
      <c r="G8" s="4"/>
      <c r="H8" s="4"/>
      <c r="I8" s="4"/>
    </row>
    <row r="9" spans="1:19">
      <c r="A9" s="9"/>
      <c r="B9" s="7"/>
      <c r="C9" s="4"/>
      <c r="D9" s="4"/>
      <c r="E9" s="4"/>
      <c r="F9" s="4"/>
      <c r="G9" s="4"/>
      <c r="H9" s="4"/>
      <c r="I9" s="4"/>
    </row>
    <row r="10" spans="1:19">
      <c r="A10" s="9"/>
      <c r="B10" s="7"/>
      <c r="C10" s="4"/>
      <c r="D10" s="4"/>
      <c r="E10" s="4"/>
      <c r="F10" s="4"/>
      <c r="G10" s="4"/>
      <c r="H10" s="4"/>
      <c r="I10" s="4"/>
    </row>
    <row r="11" spans="1:19">
      <c r="A11" s="9"/>
      <c r="B11" s="7"/>
      <c r="C11" s="4"/>
      <c r="D11" s="4"/>
      <c r="E11" s="4"/>
      <c r="F11" s="4"/>
      <c r="G11" s="4"/>
      <c r="H11" s="4"/>
      <c r="I11" s="4"/>
    </row>
    <row r="12" spans="1:19">
      <c r="A12" s="9"/>
      <c r="B12" s="7"/>
      <c r="C12" s="4"/>
      <c r="D12" s="4"/>
      <c r="E12" s="4"/>
      <c r="F12" s="4"/>
      <c r="G12" s="4"/>
      <c r="H12" s="4"/>
      <c r="I12" s="4"/>
    </row>
    <row r="13" spans="1:19">
      <c r="A13" s="9"/>
      <c r="B13" s="7"/>
      <c r="C13" s="4"/>
      <c r="D13" s="4"/>
      <c r="E13" s="4"/>
      <c r="F13" s="4"/>
      <c r="G13" s="4"/>
      <c r="H13" s="4"/>
      <c r="I13" s="4"/>
    </row>
    <row r="14" spans="1:19">
      <c r="A14" s="9"/>
      <c r="B14" s="7"/>
      <c r="C14" s="4"/>
      <c r="D14" s="4"/>
      <c r="E14" s="4"/>
      <c r="F14" s="4"/>
      <c r="G14" s="4"/>
      <c r="H14" s="4"/>
      <c r="I14" s="4"/>
    </row>
    <row r="15" spans="1:19">
      <c r="A15" s="9"/>
      <c r="B15" s="7"/>
      <c r="C15" s="4"/>
      <c r="D15" s="4"/>
      <c r="E15" s="4"/>
      <c r="F15" s="4"/>
      <c r="G15" s="4"/>
      <c r="H15" s="4"/>
      <c r="I15" s="4"/>
    </row>
    <row r="16" spans="1:19">
      <c r="A16" s="9"/>
      <c r="B16" s="7"/>
      <c r="C16" s="4"/>
      <c r="D16" s="4"/>
      <c r="E16" s="4"/>
      <c r="F16" s="4"/>
      <c r="G16" s="4"/>
      <c r="H16" s="4"/>
      <c r="I16" s="4"/>
    </row>
    <row r="17" spans="1:10">
      <c r="A17" s="9"/>
      <c r="B17" s="7"/>
      <c r="C17" s="4"/>
      <c r="D17" s="4"/>
      <c r="E17" s="4"/>
      <c r="F17" s="4"/>
      <c r="G17" s="4"/>
      <c r="H17" s="4"/>
      <c r="I17" s="4"/>
    </row>
    <row r="18" spans="1:10">
      <c r="A18" s="9"/>
      <c r="B18" s="7"/>
      <c r="C18" s="4"/>
      <c r="D18" s="4"/>
      <c r="E18" s="4"/>
      <c r="F18" s="4"/>
      <c r="G18" s="4"/>
      <c r="H18" s="4"/>
      <c r="I18" s="4"/>
    </row>
    <row r="19" spans="1:10">
      <c r="A19" s="9"/>
      <c r="B19" s="7"/>
      <c r="C19" s="4"/>
      <c r="D19" s="4"/>
      <c r="E19" s="4"/>
      <c r="F19" s="4"/>
      <c r="G19" s="4"/>
      <c r="H19" s="4"/>
      <c r="I19" s="4"/>
    </row>
    <row r="20" spans="1:10">
      <c r="A20" s="9"/>
      <c r="B20" s="7"/>
      <c r="C20" s="4"/>
      <c r="D20" s="4"/>
      <c r="E20" s="4"/>
      <c r="F20" s="4"/>
      <c r="G20" s="4"/>
      <c r="H20" s="4"/>
      <c r="I20" s="4"/>
    </row>
    <row r="21" spans="1:10">
      <c r="A21" s="9"/>
      <c r="B21" s="7"/>
      <c r="C21" s="4"/>
      <c r="D21" s="4"/>
      <c r="E21" s="4"/>
      <c r="F21" s="4"/>
      <c r="G21" s="4"/>
      <c r="H21" s="4"/>
      <c r="I21" s="4"/>
    </row>
    <row r="22" spans="1:10">
      <c r="A22" s="9"/>
      <c r="B22" s="7"/>
      <c r="C22" s="4"/>
      <c r="D22" s="4"/>
      <c r="E22" s="4"/>
      <c r="F22" s="4"/>
      <c r="G22" s="4"/>
      <c r="H22" s="4"/>
      <c r="I22" s="4"/>
    </row>
    <row r="23" spans="1:10">
      <c r="A23" s="9"/>
      <c r="B23" s="7"/>
      <c r="C23" s="4"/>
      <c r="D23" s="4"/>
      <c r="E23" s="4"/>
      <c r="F23" s="4"/>
      <c r="G23" s="4"/>
      <c r="H23" s="4"/>
      <c r="I23" s="4"/>
    </row>
    <row r="24" spans="1:10">
      <c r="A24" s="9"/>
      <c r="B24" s="7"/>
      <c r="C24" s="4"/>
      <c r="D24" s="4"/>
      <c r="E24" s="4"/>
      <c r="F24" s="4"/>
      <c r="G24" s="4"/>
      <c r="H24" s="4"/>
      <c r="I24" s="4"/>
    </row>
    <row r="25" spans="1:10">
      <c r="A25" s="9"/>
      <c r="B25" s="7"/>
      <c r="C25" s="4"/>
      <c r="D25" s="4"/>
      <c r="E25" s="4"/>
      <c r="F25" s="4"/>
      <c r="G25" s="4"/>
      <c r="H25" s="4"/>
      <c r="I25" s="4"/>
    </row>
    <row r="26" spans="1:10" s="2" customFormat="1">
      <c r="A26" s="17"/>
      <c r="B26" s="7"/>
      <c r="C26" s="4"/>
      <c r="D26" s="4"/>
      <c r="E26" s="4"/>
      <c r="F26" s="4"/>
      <c r="G26" s="4"/>
      <c r="H26" s="4"/>
      <c r="I26" s="4"/>
    </row>
    <row r="30" spans="1:10">
      <c r="A30" s="9" t="s">
        <v>17</v>
      </c>
      <c r="B30" s="3">
        <v>13</v>
      </c>
      <c r="C30" s="3">
        <v>12</v>
      </c>
      <c r="D30" s="3">
        <v>11</v>
      </c>
      <c r="E30" s="3">
        <v>10</v>
      </c>
      <c r="F30" s="3" t="s">
        <v>16</v>
      </c>
      <c r="G30" s="3" t="s">
        <v>15</v>
      </c>
      <c r="H30" s="3" t="s">
        <v>14</v>
      </c>
      <c r="I30" s="3" t="s">
        <v>13</v>
      </c>
      <c r="J30" s="3" t="s">
        <v>12</v>
      </c>
    </row>
    <row r="31" spans="1:10">
      <c r="A31" s="9"/>
      <c r="B31" s="12" t="s">
        <v>3</v>
      </c>
      <c r="C31" s="12" t="s">
        <v>4</v>
      </c>
      <c r="D31" s="12" t="s">
        <v>5</v>
      </c>
      <c r="E31" s="12" t="s">
        <v>6</v>
      </c>
      <c r="F31" s="12" t="s">
        <v>7</v>
      </c>
      <c r="G31" s="12" t="s">
        <v>8</v>
      </c>
      <c r="H31" s="12" t="s">
        <v>9</v>
      </c>
      <c r="I31" s="12" t="s">
        <v>10</v>
      </c>
      <c r="J31" s="12" t="s">
        <v>11</v>
      </c>
    </row>
    <row r="32" spans="1:10">
      <c r="A32" s="9"/>
      <c r="B32" s="12"/>
      <c r="C32" s="12"/>
      <c r="D32" s="12"/>
      <c r="E32" s="12"/>
      <c r="F32" s="12" t="s">
        <v>19</v>
      </c>
      <c r="G32" s="12" t="s">
        <v>19</v>
      </c>
      <c r="H32" s="12" t="s">
        <v>30</v>
      </c>
      <c r="I32" s="12" t="s">
        <v>19</v>
      </c>
      <c r="J32" s="12" t="s">
        <v>19</v>
      </c>
    </row>
    <row r="33" spans="1:10">
      <c r="A33" s="9"/>
      <c r="B33" s="12"/>
      <c r="C33" s="12"/>
      <c r="D33" s="12"/>
      <c r="E33" s="12"/>
      <c r="F33" s="12" t="s">
        <v>20</v>
      </c>
      <c r="G33" s="12" t="s">
        <v>20</v>
      </c>
      <c r="H33" s="12" t="s">
        <v>29</v>
      </c>
      <c r="I33" s="12" t="s">
        <v>20</v>
      </c>
      <c r="J33" s="12" t="s">
        <v>20</v>
      </c>
    </row>
    <row r="34" spans="1:10">
      <c r="A34" s="9"/>
      <c r="B34" s="12"/>
      <c r="C34" s="12"/>
      <c r="D34" s="12"/>
      <c r="E34" s="12"/>
      <c r="F34" s="12" t="s">
        <v>21</v>
      </c>
      <c r="G34" s="12" t="s">
        <v>21</v>
      </c>
      <c r="H34" s="12" t="s">
        <v>28</v>
      </c>
      <c r="I34" s="12" t="s">
        <v>21</v>
      </c>
      <c r="J34" s="12" t="s">
        <v>21</v>
      </c>
    </row>
    <row r="35" spans="1:10" ht="14.7" thickBot="1">
      <c r="A35" s="13"/>
      <c r="B35" s="16"/>
      <c r="C35" s="16"/>
      <c r="D35" s="16"/>
      <c r="E35" s="16"/>
      <c r="F35" s="16" t="s">
        <v>22</v>
      </c>
      <c r="G35" s="16" t="s">
        <v>22</v>
      </c>
      <c r="H35" s="16" t="s">
        <v>27</v>
      </c>
      <c r="I35" s="16" t="s">
        <v>22</v>
      </c>
      <c r="J35" s="16" t="s">
        <v>22</v>
      </c>
    </row>
    <row r="36" spans="1:10" ht="14.7" thickTop="1">
      <c r="A36" s="8"/>
      <c r="B36" s="5"/>
      <c r="C36" s="5"/>
      <c r="D36" s="5"/>
      <c r="E36" s="5"/>
      <c r="F36" s="5"/>
      <c r="G36" s="5"/>
      <c r="H36" s="5"/>
      <c r="I36" s="5"/>
      <c r="J36" s="5"/>
    </row>
    <row r="37" spans="1:10">
      <c r="A37" s="9"/>
      <c r="B37" s="4"/>
      <c r="C37" s="4"/>
      <c r="D37" s="4"/>
      <c r="E37" s="4"/>
      <c r="F37" s="4"/>
      <c r="G37" s="4"/>
      <c r="H37" s="4"/>
      <c r="I37" s="4"/>
      <c r="J37" s="4"/>
    </row>
    <row r="38" spans="1:10">
      <c r="A38" s="9"/>
      <c r="B38" s="4"/>
      <c r="C38" s="4"/>
      <c r="D38" s="4"/>
      <c r="E38" s="4"/>
      <c r="F38" s="4"/>
      <c r="G38" s="4"/>
      <c r="H38" s="4"/>
      <c r="I38" s="4"/>
      <c r="J38" s="4"/>
    </row>
    <row r="39" spans="1:10">
      <c r="A39" s="9"/>
      <c r="B39" s="4"/>
      <c r="C39" s="4"/>
      <c r="D39" s="4"/>
      <c r="E39" s="4"/>
      <c r="F39" s="4"/>
      <c r="G39" s="4"/>
      <c r="H39" s="4"/>
      <c r="I39" s="4"/>
      <c r="J39" s="4"/>
    </row>
    <row r="40" spans="1:10">
      <c r="A40" s="9"/>
      <c r="B40" s="4"/>
      <c r="C40" s="4"/>
      <c r="D40" s="4"/>
      <c r="E40" s="4"/>
      <c r="F40" s="4"/>
      <c r="G40" s="4"/>
      <c r="H40" s="4"/>
      <c r="I40" s="4"/>
      <c r="J40" s="4"/>
    </row>
    <row r="41" spans="1:10">
      <c r="A41" s="9"/>
      <c r="B41" s="4"/>
      <c r="C41" s="4"/>
      <c r="D41" s="4"/>
      <c r="E41" s="4"/>
      <c r="F41" s="4"/>
      <c r="G41" s="4"/>
      <c r="H41" s="4"/>
      <c r="I41" s="4"/>
      <c r="J41" s="4"/>
    </row>
    <row r="42" spans="1:10">
      <c r="A42" s="9"/>
      <c r="B42" s="4"/>
      <c r="C42" s="4"/>
      <c r="D42" s="4"/>
      <c r="E42" s="4"/>
      <c r="F42" s="4"/>
      <c r="G42" s="4"/>
      <c r="H42" s="4"/>
      <c r="I42" s="4"/>
      <c r="J42" s="4"/>
    </row>
    <row r="43" spans="1:10">
      <c r="A43" s="9"/>
      <c r="B43" s="4"/>
      <c r="C43" s="4"/>
      <c r="D43" s="4"/>
      <c r="E43" s="4"/>
      <c r="F43" s="4"/>
      <c r="G43" s="4"/>
      <c r="H43" s="4"/>
      <c r="I43" s="4"/>
      <c r="J43" s="4"/>
    </row>
    <row r="44" spans="1:10">
      <c r="A44" s="9"/>
      <c r="B44" s="4"/>
      <c r="C44" s="4"/>
      <c r="D44" s="4"/>
      <c r="E44" s="4"/>
      <c r="F44" s="4"/>
      <c r="G44" s="4"/>
      <c r="H44" s="4"/>
      <c r="I44" s="4"/>
      <c r="J44" s="4"/>
    </row>
    <row r="45" spans="1:10">
      <c r="A45" s="9"/>
      <c r="B45" s="4"/>
      <c r="C45" s="4"/>
      <c r="D45" s="4"/>
      <c r="E45" s="4"/>
      <c r="F45" s="4"/>
      <c r="G45" s="4"/>
      <c r="H45" s="4"/>
      <c r="I45" s="4"/>
      <c r="J45" s="4"/>
    </row>
    <row r="46" spans="1:10">
      <c r="A46" s="9"/>
      <c r="B46" s="4"/>
      <c r="C46" s="4"/>
      <c r="D46" s="4"/>
      <c r="E46" s="4"/>
      <c r="F46" s="4"/>
      <c r="G46" s="4"/>
      <c r="H46" s="4"/>
      <c r="I46" s="4"/>
      <c r="J46" s="4"/>
    </row>
    <row r="47" spans="1:10">
      <c r="A47" s="9"/>
      <c r="B47" s="4"/>
      <c r="C47" s="4"/>
      <c r="D47" s="4"/>
      <c r="E47" s="4"/>
      <c r="F47" s="4"/>
      <c r="G47" s="4"/>
      <c r="H47" s="4"/>
      <c r="I47" s="4"/>
      <c r="J47" s="4"/>
    </row>
    <row r="48" spans="1:10">
      <c r="A48" s="9"/>
      <c r="B48" s="4"/>
      <c r="C48" s="4"/>
      <c r="D48" s="4"/>
      <c r="E48" s="4"/>
      <c r="F48" s="4"/>
      <c r="G48" s="4"/>
      <c r="H48" s="4"/>
      <c r="I48" s="4"/>
      <c r="J48" s="4"/>
    </row>
    <row r="49" spans="1:10">
      <c r="A49" s="9"/>
      <c r="B49" s="4"/>
      <c r="C49" s="4"/>
      <c r="D49" s="4"/>
      <c r="E49" s="4"/>
      <c r="F49" s="4"/>
      <c r="G49" s="4"/>
      <c r="H49" s="4"/>
      <c r="I49" s="4"/>
      <c r="J49" s="4"/>
    </row>
    <row r="50" spans="1:10">
      <c r="A50" s="9"/>
      <c r="B50" s="4"/>
      <c r="C50" s="4"/>
      <c r="D50" s="4"/>
      <c r="E50" s="4"/>
      <c r="F50" s="4"/>
      <c r="G50" s="4"/>
      <c r="H50" s="4"/>
      <c r="I50" s="4"/>
      <c r="J50" s="4"/>
    </row>
    <row r="51" spans="1:10">
      <c r="A51" s="9"/>
      <c r="B51" s="4"/>
      <c r="C51" s="4"/>
      <c r="D51" s="4"/>
      <c r="E51" s="4"/>
      <c r="F51" s="4"/>
      <c r="G51" s="4"/>
      <c r="H51" s="4"/>
      <c r="I51" s="4"/>
      <c r="J51" s="4"/>
    </row>
    <row r="52" spans="1:10">
      <c r="A52" s="9"/>
      <c r="B52" s="4"/>
      <c r="C52" s="4"/>
      <c r="D52" s="4"/>
      <c r="E52" s="4"/>
      <c r="F52" s="4"/>
      <c r="G52" s="4"/>
      <c r="H52" s="4"/>
      <c r="I52" s="4"/>
      <c r="J52" s="4"/>
    </row>
    <row r="53" spans="1:10">
      <c r="A53" s="9"/>
      <c r="B53" s="4"/>
      <c r="C53" s="4"/>
      <c r="D53" s="4"/>
      <c r="E53" s="4"/>
      <c r="F53" s="4"/>
      <c r="G53" s="4"/>
      <c r="H53" s="4"/>
      <c r="I53" s="4"/>
      <c r="J53" s="4"/>
    </row>
    <row r="54" spans="1:10">
      <c r="A54" s="9"/>
      <c r="B54" s="4"/>
      <c r="C54" s="4"/>
      <c r="D54" s="4"/>
      <c r="E54" s="4"/>
      <c r="F54" s="4"/>
      <c r="G54" s="4"/>
      <c r="H54" s="4"/>
      <c r="I54" s="4"/>
      <c r="J54" s="4"/>
    </row>
    <row r="55" spans="1:10">
      <c r="A55" s="17"/>
      <c r="B55" s="4"/>
      <c r="C55" s="4"/>
      <c r="D55" s="4"/>
      <c r="E55" s="4"/>
      <c r="F55" s="4"/>
      <c r="G55" s="4"/>
      <c r="H55" s="4"/>
      <c r="I55" s="4"/>
      <c r="J55" s="4"/>
    </row>
  </sheetData>
  <pageMargins left="0.7" right="0.7" top="0.75" bottom="0.75" header="0.3" footer="0.3"/>
  <pageSetup scale="62" orientation="landscape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19"/>
  <sheetViews>
    <sheetView workbookViewId="0">
      <selection activeCell="E20" sqref="E20"/>
    </sheetView>
  </sheetViews>
  <sheetFormatPr defaultRowHeight="14.4"/>
  <cols>
    <col min="1" max="1" width="8.41796875" bestFit="1" customWidth="1"/>
    <col min="2" max="2" width="8.83984375" style="22"/>
    <col min="3" max="4" width="9.15625" style="22"/>
    <col min="7" max="7" width="8.83984375" style="2"/>
  </cols>
  <sheetData>
    <row r="2" spans="2:7">
      <c r="B2" s="22" t="s">
        <v>31</v>
      </c>
      <c r="C2" s="22" t="s">
        <v>57</v>
      </c>
      <c r="E2" t="s">
        <v>58</v>
      </c>
      <c r="G2" s="2" t="s">
        <v>42</v>
      </c>
    </row>
    <row r="3" spans="2:7">
      <c r="B3" s="22" t="s">
        <v>24</v>
      </c>
      <c r="C3" s="22">
        <f>SIN(B3)</f>
        <v>0</v>
      </c>
      <c r="E3" s="2" t="s">
        <v>33</v>
      </c>
      <c r="G3" s="2" t="s">
        <v>32</v>
      </c>
    </row>
    <row r="4" spans="2:7">
      <c r="B4" s="22">
        <f>B3+PI()/8</f>
        <v>0.39269908169872414</v>
      </c>
      <c r="C4" s="22">
        <f t="shared" ref="C4:C19" si="0">SIN(B4)</f>
        <v>0.38268343236508978</v>
      </c>
      <c r="E4" s="2" t="s">
        <v>34</v>
      </c>
      <c r="G4" s="2" t="s">
        <v>32</v>
      </c>
    </row>
    <row r="5" spans="2:7">
      <c r="B5" s="22">
        <f t="shared" ref="B5:B18" si="1">B4+PI()/8</f>
        <v>0.78539816339744828</v>
      </c>
      <c r="C5" s="22">
        <f t="shared" si="0"/>
        <v>0.70710678118654746</v>
      </c>
      <c r="E5" s="2" t="s">
        <v>35</v>
      </c>
      <c r="G5" s="2">
        <v>4000</v>
      </c>
    </row>
    <row r="6" spans="2:7">
      <c r="B6" s="22">
        <f t="shared" si="1"/>
        <v>1.1780972450961724</v>
      </c>
      <c r="C6" s="22">
        <f t="shared" si="0"/>
        <v>0.92387953251128674</v>
      </c>
      <c r="E6" s="2" t="s">
        <v>36</v>
      </c>
      <c r="G6" s="2">
        <v>4000</v>
      </c>
    </row>
    <row r="7" spans="2:7">
      <c r="B7" s="22">
        <f t="shared" si="1"/>
        <v>1.5707963267948966</v>
      </c>
      <c r="C7" s="22">
        <f t="shared" si="0"/>
        <v>1</v>
      </c>
      <c r="E7" s="2" t="s">
        <v>37</v>
      </c>
    </row>
    <row r="8" spans="2:7">
      <c r="B8" s="22">
        <f t="shared" si="1"/>
        <v>1.9634954084936207</v>
      </c>
      <c r="C8" s="22">
        <f t="shared" si="0"/>
        <v>0.92387953251128674</v>
      </c>
      <c r="E8" s="2" t="s">
        <v>36</v>
      </c>
    </row>
    <row r="9" spans="2:7">
      <c r="B9" s="22">
        <f t="shared" si="1"/>
        <v>2.3561944901923448</v>
      </c>
      <c r="C9" s="22">
        <f t="shared" si="0"/>
        <v>0.70710678118654757</v>
      </c>
      <c r="E9" s="2" t="s">
        <v>35</v>
      </c>
    </row>
    <row r="10" spans="2:7">
      <c r="B10" s="22">
        <f t="shared" si="1"/>
        <v>2.748893571891069</v>
      </c>
      <c r="C10" s="22">
        <f t="shared" si="0"/>
        <v>0.38268343236508989</v>
      </c>
      <c r="E10" s="2" t="s">
        <v>34</v>
      </c>
    </row>
    <row r="11" spans="2:7">
      <c r="B11" s="22">
        <f t="shared" si="1"/>
        <v>3.1415926535897931</v>
      </c>
      <c r="C11" s="22">
        <f t="shared" si="0"/>
        <v>1.22514845490862E-16</v>
      </c>
      <c r="E11" s="2" t="s">
        <v>33</v>
      </c>
    </row>
    <row r="12" spans="2:7">
      <c r="B12" s="22">
        <f t="shared" si="1"/>
        <v>3.5342917352885173</v>
      </c>
      <c r="C12" s="22">
        <f t="shared" si="0"/>
        <v>-0.38268343236508967</v>
      </c>
      <c r="E12" s="2" t="s">
        <v>38</v>
      </c>
    </row>
    <row r="13" spans="2:7">
      <c r="B13" s="22">
        <f t="shared" si="1"/>
        <v>3.9269908169872414</v>
      </c>
      <c r="C13" s="22">
        <f t="shared" si="0"/>
        <v>-0.70710678118654746</v>
      </c>
      <c r="E13" s="2" t="s">
        <v>41</v>
      </c>
    </row>
    <row r="14" spans="2:7">
      <c r="B14" s="22">
        <f t="shared" si="1"/>
        <v>4.3196898986859651</v>
      </c>
      <c r="C14" s="22">
        <f t="shared" si="0"/>
        <v>-0.92387953251128652</v>
      </c>
      <c r="E14" s="2" t="s">
        <v>39</v>
      </c>
    </row>
    <row r="15" spans="2:7">
      <c r="B15" s="22">
        <f t="shared" si="1"/>
        <v>4.7123889803846897</v>
      </c>
      <c r="C15" s="22">
        <f t="shared" si="0"/>
        <v>-1</v>
      </c>
      <c r="E15" s="2" t="s">
        <v>40</v>
      </c>
    </row>
    <row r="16" spans="2:7">
      <c r="B16" s="22">
        <f t="shared" si="1"/>
        <v>5.1050880620834143</v>
      </c>
      <c r="C16" s="22">
        <f t="shared" si="0"/>
        <v>-0.92387953251128663</v>
      </c>
      <c r="E16" s="2" t="s">
        <v>39</v>
      </c>
    </row>
    <row r="17" spans="2:5">
      <c r="B17" s="22">
        <f t="shared" si="1"/>
        <v>5.4977871437821388</v>
      </c>
      <c r="C17" s="22">
        <f t="shared" si="0"/>
        <v>-0.70710678118654702</v>
      </c>
      <c r="E17" s="2" t="s">
        <v>41</v>
      </c>
    </row>
    <row r="18" spans="2:5">
      <c r="B18" s="22">
        <f t="shared" si="1"/>
        <v>5.8904862254808634</v>
      </c>
      <c r="C18" s="22">
        <f t="shared" si="0"/>
        <v>-0.38268343236508873</v>
      </c>
      <c r="E18" s="2" t="s">
        <v>38</v>
      </c>
    </row>
    <row r="19" spans="2:5">
      <c r="B19" s="22">
        <f>B18+PI()/8</f>
        <v>6.283185307179588</v>
      </c>
      <c r="C19" s="22">
        <f t="shared" si="0"/>
        <v>1.5313271484185265E-15</v>
      </c>
      <c r="E19">
        <v>1</v>
      </c>
    </row>
  </sheetData>
  <pageMargins left="0.7" right="0.7" top="0.75" bottom="0.75" header="0.3" footer="0.3"/>
  <pageSetup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ControWord</vt:lpstr>
      <vt:lpstr>Handout</vt:lpstr>
      <vt:lpstr>AD7606 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Coulston</dc:creator>
  <cp:lastModifiedBy>Mark</cp:lastModifiedBy>
  <cp:lastPrinted>2022-10-07T02:55:11Z</cp:lastPrinted>
  <dcterms:created xsi:type="dcterms:W3CDTF">2022-09-22T23:02:16Z</dcterms:created>
  <dcterms:modified xsi:type="dcterms:W3CDTF">2022-10-31T03:57:10Z</dcterms:modified>
</cp:coreProperties>
</file>